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АСУ" sheetId="1" r:id="rId1"/>
    <sheet name="САПР" sheetId="2" r:id="rId2"/>
  </sheets>
  <calcPr calcId="124519"/>
</workbook>
</file>

<file path=xl/calcChain.xml><?xml version="1.0" encoding="utf-8"?>
<calcChain xmlns="http://schemas.openxmlformats.org/spreadsheetml/2006/main">
  <c r="I14" i="1"/>
  <c r="I15"/>
  <c r="I16"/>
  <c r="I17"/>
  <c r="I18"/>
  <c r="I19"/>
  <c r="I20"/>
  <c r="I13"/>
  <c r="G12" i="2"/>
  <c r="G13"/>
  <c r="G14"/>
  <c r="G11"/>
  <c r="G6"/>
  <c r="G7"/>
  <c r="G8"/>
  <c r="G5"/>
  <c r="G3"/>
  <c r="G2"/>
  <c r="I3" i="1"/>
  <c r="I4"/>
  <c r="I5"/>
  <c r="I6"/>
  <c r="I7"/>
  <c r="I8"/>
  <c r="I9"/>
  <c r="I10"/>
  <c r="I2"/>
  <c r="C9" i="2"/>
  <c r="K14" i="1"/>
  <c r="H12"/>
  <c r="G7"/>
  <c r="F12"/>
  <c r="E12"/>
  <c r="D8"/>
  <c r="E24" l="1"/>
  <c r="E20" i="2" s="1"/>
  <c r="C21" i="1"/>
  <c r="C11"/>
  <c r="E23" l="1"/>
  <c r="C15" i="2"/>
  <c r="F14" s="1"/>
</calcChain>
</file>

<file path=xl/sharedStrings.xml><?xml version="1.0" encoding="utf-8"?>
<sst xmlns="http://schemas.openxmlformats.org/spreadsheetml/2006/main" count="21" uniqueCount="14">
  <si>
    <t>3+</t>
  </si>
  <si>
    <t>4+</t>
  </si>
  <si>
    <t>6+++</t>
  </si>
  <si>
    <t>8+</t>
  </si>
  <si>
    <t>Модуль 1</t>
  </si>
  <si>
    <t>Модуль 2</t>
  </si>
  <si>
    <t>4++</t>
  </si>
  <si>
    <t>6+</t>
  </si>
  <si>
    <t>6++</t>
  </si>
  <si>
    <t>9+</t>
  </si>
  <si>
    <t>Допуск на экзамен:</t>
  </si>
  <si>
    <t>задач</t>
  </si>
  <si>
    <t>3+, 4++,6+</t>
  </si>
  <si>
    <t>6++ 6+++        9</t>
  </si>
</sst>
</file>

<file path=xl/styles.xml><?xml version="1.0" encoding="utf-8"?>
<styleSheet xmlns="http://schemas.openxmlformats.org/spreadsheetml/2006/main">
  <numFmts count="1">
    <numFmt numFmtId="164" formatCode="0.0"/>
  </numFmts>
  <fonts count="4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164" fontId="0" fillId="0" borderId="0" xfId="0" applyNumberFormat="1"/>
    <xf numFmtId="0" fontId="1" fillId="0" borderId="0" xfId="0" applyFont="1" applyFill="1"/>
    <xf numFmtId="164" fontId="2" fillId="0" borderId="0" xfId="0" applyNumberFormat="1" applyFont="1"/>
    <xf numFmtId="9" fontId="0" fillId="0" borderId="0" xfId="0" applyNumberFormat="1"/>
    <xf numFmtId="9" fontId="3" fillId="0" borderId="0" xfId="0" applyNumberFormat="1" applyFont="1"/>
    <xf numFmtId="0" fontId="3" fillId="0" borderId="0" xfId="0" applyFont="1"/>
    <xf numFmtId="1" fontId="0" fillId="0" borderId="0" xfId="0" applyNumberFormat="1"/>
    <xf numFmtId="0" fontId="0" fillId="2" borderId="0" xfId="0" applyFill="1" applyAlignment="1">
      <alignment horizontal="left" wrapText="1"/>
    </xf>
    <xf numFmtId="0" fontId="0" fillId="2" borderId="0" xfId="0" applyFill="1" applyAlignment="1">
      <alignment vertical="center"/>
    </xf>
    <xf numFmtId="0" fontId="3" fillId="0" borderId="0" xfId="0" applyNumberFormat="1" applyFont="1"/>
    <xf numFmtId="164" fontId="2" fillId="2" borderId="0" xfId="0" applyNumberFormat="1" applyFont="1" applyFill="1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0" fillId="3" borderId="0" xfId="0" applyFill="1" applyAlignment="1">
      <alignment horizontal="left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right" vertical="center"/>
    </xf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>
      <selection activeCell="N14" sqref="N14"/>
    </sheetView>
  </sheetViews>
  <sheetFormatPr defaultRowHeight="15"/>
  <cols>
    <col min="1" max="1" width="4.42578125" style="1" customWidth="1"/>
    <col min="2" max="2" width="9.5703125" bestFit="1" customWidth="1"/>
  </cols>
  <sheetData>
    <row r="1" spans="1:11">
      <c r="A1" s="1">
        <v>1</v>
      </c>
      <c r="B1">
        <v>1</v>
      </c>
    </row>
    <row r="2" spans="1:11">
      <c r="A2" s="1">
        <v>2</v>
      </c>
      <c r="B2">
        <v>1</v>
      </c>
      <c r="I2">
        <f>SUM($B$1:B2)</f>
        <v>2</v>
      </c>
    </row>
    <row r="3" spans="1:11">
      <c r="A3" s="1">
        <v>3</v>
      </c>
      <c r="B3">
        <v>2</v>
      </c>
      <c r="I3">
        <f>SUM($B$1:B3)</f>
        <v>4</v>
      </c>
    </row>
    <row r="4" spans="1:11">
      <c r="A4" s="1" t="s">
        <v>0</v>
      </c>
      <c r="B4">
        <v>2.5</v>
      </c>
      <c r="I4">
        <f>SUM($B$1:B4)</f>
        <v>6.5</v>
      </c>
    </row>
    <row r="5" spans="1:11">
      <c r="A5" s="1">
        <v>4</v>
      </c>
      <c r="B5">
        <v>2</v>
      </c>
      <c r="I5">
        <f>SUM($B$1:B5)</f>
        <v>8.5</v>
      </c>
    </row>
    <row r="6" spans="1:11">
      <c r="A6" s="1" t="s">
        <v>1</v>
      </c>
      <c r="B6">
        <v>3</v>
      </c>
      <c r="I6">
        <f>SUM($B$1:B6)</f>
        <v>11.5</v>
      </c>
    </row>
    <row r="7" spans="1:11">
      <c r="A7" s="1" t="s">
        <v>6</v>
      </c>
      <c r="B7">
        <v>3</v>
      </c>
      <c r="D7" s="2"/>
      <c r="E7" s="2"/>
      <c r="F7" s="2"/>
      <c r="G7" s="17">
        <f>SUM(B7:B15)</f>
        <v>22.5</v>
      </c>
      <c r="H7" s="2"/>
      <c r="I7">
        <f>SUM($B$1:B7)</f>
        <v>14.5</v>
      </c>
      <c r="J7" s="2"/>
      <c r="K7" s="2"/>
    </row>
    <row r="8" spans="1:11">
      <c r="A8" s="1">
        <v>5</v>
      </c>
      <c r="B8">
        <v>2.5</v>
      </c>
      <c r="D8" s="17">
        <f>SUM(B8:B15)</f>
        <v>19.5</v>
      </c>
      <c r="E8" s="2"/>
      <c r="F8" s="2"/>
      <c r="G8" s="17"/>
      <c r="H8" s="2"/>
      <c r="I8">
        <f>SUM($B$1:B8)</f>
        <v>17</v>
      </c>
      <c r="J8" s="2"/>
      <c r="K8" s="2"/>
    </row>
    <row r="9" spans="1:11">
      <c r="A9" s="1">
        <v>6</v>
      </c>
      <c r="B9">
        <v>3.5</v>
      </c>
      <c r="D9" s="17"/>
      <c r="E9" s="2"/>
      <c r="F9" s="2"/>
      <c r="G9" s="17"/>
      <c r="H9" s="2"/>
      <c r="I9">
        <f>SUM($B$1:B9)</f>
        <v>20.5</v>
      </c>
      <c r="J9" s="2"/>
      <c r="K9" s="2"/>
    </row>
    <row r="10" spans="1:11">
      <c r="A10" s="1" t="s">
        <v>7</v>
      </c>
      <c r="B10">
        <v>4.5</v>
      </c>
      <c r="D10" s="17"/>
      <c r="E10" s="2"/>
      <c r="F10" s="2"/>
      <c r="G10" s="17"/>
      <c r="H10" s="2"/>
      <c r="I10">
        <f>SUM($B$1:B10)</f>
        <v>25</v>
      </c>
      <c r="J10" s="2"/>
      <c r="K10" s="2"/>
    </row>
    <row r="11" spans="1:11">
      <c r="A11" s="19" t="s">
        <v>4</v>
      </c>
      <c r="B11" s="20"/>
      <c r="C11" s="20">
        <f>SUM(B1:B10)</f>
        <v>25</v>
      </c>
      <c r="D11" s="17"/>
      <c r="E11" s="2"/>
      <c r="F11" s="2"/>
      <c r="G11" s="17"/>
      <c r="H11" s="2"/>
      <c r="I11" s="2"/>
      <c r="J11" s="2"/>
      <c r="K11" s="2"/>
    </row>
    <row r="12" spans="1:11">
      <c r="A12" s="1" t="s">
        <v>8</v>
      </c>
      <c r="B12" s="5">
        <v>1.5</v>
      </c>
      <c r="D12" s="17"/>
      <c r="E12" s="16">
        <f>SUM(B12:B18)</f>
        <v>21</v>
      </c>
      <c r="F12" s="16">
        <f>SUM(B12:B15)</f>
        <v>9</v>
      </c>
      <c r="G12" s="17"/>
      <c r="H12" s="16">
        <f>SUM(B12:B16)</f>
        <v>12</v>
      </c>
      <c r="I12" s="2"/>
      <c r="J12" s="2"/>
      <c r="K12" s="2"/>
    </row>
    <row r="13" spans="1:11">
      <c r="A13" s="1" t="s">
        <v>2</v>
      </c>
      <c r="B13" s="5">
        <v>2</v>
      </c>
      <c r="D13" s="17"/>
      <c r="E13" s="17"/>
      <c r="F13" s="17"/>
      <c r="G13" s="17"/>
      <c r="H13" s="17"/>
      <c r="I13" s="5">
        <f>SUM($B$12:B13)</f>
        <v>3.5</v>
      </c>
      <c r="J13" s="2"/>
      <c r="K13" s="2"/>
    </row>
    <row r="14" spans="1:11">
      <c r="A14" s="1">
        <v>7</v>
      </c>
      <c r="B14" s="5">
        <v>2.5</v>
      </c>
      <c r="D14" s="17"/>
      <c r="E14" s="17"/>
      <c r="F14" s="17"/>
      <c r="G14" s="17"/>
      <c r="H14" s="17"/>
      <c r="I14" s="5">
        <f>SUM($B$12:B14)</f>
        <v>6</v>
      </c>
      <c r="J14" s="2"/>
      <c r="K14" s="2">
        <f>9+3+9</f>
        <v>21</v>
      </c>
    </row>
    <row r="15" spans="1:11">
      <c r="A15" s="1">
        <v>8</v>
      </c>
      <c r="B15" s="5">
        <v>3</v>
      </c>
      <c r="D15" s="17"/>
      <c r="E15" s="17"/>
      <c r="F15" s="17"/>
      <c r="G15" s="17"/>
      <c r="H15" s="17"/>
      <c r="I15" s="5">
        <f>SUM($B$12:B15)</f>
        <v>9</v>
      </c>
      <c r="J15" s="2"/>
      <c r="K15" s="2"/>
    </row>
    <row r="16" spans="1:11">
      <c r="A16" s="1" t="s">
        <v>3</v>
      </c>
      <c r="B16" s="5">
        <v>3</v>
      </c>
      <c r="D16" s="2"/>
      <c r="E16" s="17"/>
      <c r="F16" s="2"/>
      <c r="G16" s="2"/>
      <c r="H16" s="17"/>
      <c r="I16" s="5">
        <f>SUM($B$12:B16)</f>
        <v>12</v>
      </c>
      <c r="J16" s="2"/>
      <c r="K16" s="2"/>
    </row>
    <row r="17" spans="1:11">
      <c r="A17" s="1">
        <v>9</v>
      </c>
      <c r="B17" s="5">
        <v>4.5</v>
      </c>
      <c r="D17" s="2"/>
      <c r="E17" s="17"/>
      <c r="F17" s="2"/>
      <c r="G17" s="2"/>
      <c r="H17" s="2"/>
      <c r="I17" s="5">
        <f>SUM($B$12:B17)</f>
        <v>16.5</v>
      </c>
      <c r="J17" s="2"/>
      <c r="K17" s="2"/>
    </row>
    <row r="18" spans="1:11">
      <c r="A18" s="1" t="s">
        <v>9</v>
      </c>
      <c r="B18" s="5">
        <v>4.5</v>
      </c>
      <c r="D18" s="2">
        <v>7</v>
      </c>
      <c r="E18" s="17"/>
      <c r="F18" s="2"/>
      <c r="G18" s="2"/>
      <c r="H18" s="2"/>
      <c r="I18" s="5">
        <f>SUM($B$12:B18)</f>
        <v>21</v>
      </c>
      <c r="J18" s="2"/>
      <c r="K18" s="2"/>
    </row>
    <row r="19" spans="1:11">
      <c r="A19" s="15">
        <v>10</v>
      </c>
      <c r="B19" s="18">
        <v>4</v>
      </c>
      <c r="I19" s="5">
        <f>SUM($B$12:B19)</f>
        <v>25</v>
      </c>
    </row>
    <row r="20" spans="1:11">
      <c r="A20" s="15">
        <v>11</v>
      </c>
      <c r="B20" s="18"/>
      <c r="I20" s="5">
        <f>SUM($B$12:B20)</f>
        <v>25</v>
      </c>
    </row>
    <row r="21" spans="1:11">
      <c r="A21" s="1" t="s">
        <v>5</v>
      </c>
      <c r="C21" s="3">
        <f>SUM(B12:B20)</f>
        <v>25</v>
      </c>
      <c r="D21" s="4">
        <v>8</v>
      </c>
    </row>
    <row r="23" spans="1:11">
      <c r="B23" t="s">
        <v>10</v>
      </c>
      <c r="D23" s="6">
        <v>0.8</v>
      </c>
      <c r="E23" s="9">
        <f>D23*E24/D24</f>
        <v>14.4</v>
      </c>
      <c r="F23" t="s">
        <v>11</v>
      </c>
    </row>
    <row r="24" spans="1:11" ht="15.75">
      <c r="D24" s="7">
        <v>1</v>
      </c>
      <c r="E24" s="12">
        <f>COUNT(B1:B20)</f>
        <v>18</v>
      </c>
    </row>
  </sheetData>
  <mergeCells count="6">
    <mergeCell ref="H12:H16"/>
    <mergeCell ref="B19:B20"/>
    <mergeCell ref="D8:D15"/>
    <mergeCell ref="E12:E18"/>
    <mergeCell ref="F12:F15"/>
    <mergeCell ref="G7:G15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selection activeCell="D21" sqref="D21"/>
    </sheetView>
  </sheetViews>
  <sheetFormatPr defaultRowHeight="15"/>
  <cols>
    <col min="1" max="1" width="5" style="1" customWidth="1"/>
    <col min="2" max="2" width="9.5703125" bestFit="1" customWidth="1"/>
  </cols>
  <sheetData>
    <row r="1" spans="1:7">
      <c r="A1" s="1">
        <v>1</v>
      </c>
      <c r="B1">
        <v>1</v>
      </c>
    </row>
    <row r="2" spans="1:7">
      <c r="A2" s="1">
        <v>2</v>
      </c>
      <c r="B2">
        <v>2</v>
      </c>
      <c r="G2">
        <f>SUM($B$1:B2)</f>
        <v>3</v>
      </c>
    </row>
    <row r="3" spans="1:7">
      <c r="A3" s="1">
        <v>3</v>
      </c>
      <c r="B3">
        <v>2</v>
      </c>
      <c r="G3">
        <f>SUM($B$1:B3)</f>
        <v>5</v>
      </c>
    </row>
    <row r="4" spans="1:7" ht="45">
      <c r="A4" s="10" t="s">
        <v>12</v>
      </c>
      <c r="B4" s="11">
        <v>2</v>
      </c>
    </row>
    <row r="5" spans="1:7">
      <c r="A5" s="1">
        <v>4</v>
      </c>
      <c r="B5">
        <v>4</v>
      </c>
      <c r="G5">
        <f>SUM($B$1:B5)-2</f>
        <v>9</v>
      </c>
    </row>
    <row r="6" spans="1:7">
      <c r="A6" s="1" t="s">
        <v>1</v>
      </c>
      <c r="B6">
        <v>5</v>
      </c>
      <c r="G6">
        <f>SUM($B$1:B6)-2</f>
        <v>14</v>
      </c>
    </row>
    <row r="7" spans="1:7">
      <c r="A7" s="1">
        <v>5</v>
      </c>
      <c r="B7">
        <v>5</v>
      </c>
      <c r="G7">
        <f>SUM($B$1:B7)-2</f>
        <v>19</v>
      </c>
    </row>
    <row r="8" spans="1:7">
      <c r="A8" s="1">
        <v>6</v>
      </c>
      <c r="B8">
        <v>6</v>
      </c>
      <c r="G8">
        <f>SUM($B$1:B8)-2</f>
        <v>25</v>
      </c>
    </row>
    <row r="9" spans="1:7">
      <c r="A9" s="1" t="s">
        <v>4</v>
      </c>
      <c r="C9">
        <f>SUM(B1:B8)-B4</f>
        <v>25</v>
      </c>
    </row>
    <row r="10" spans="1:7">
      <c r="A10" s="1">
        <v>7</v>
      </c>
      <c r="B10" s="5">
        <v>4</v>
      </c>
    </row>
    <row r="11" spans="1:7">
      <c r="A11" s="1">
        <v>8</v>
      </c>
      <c r="B11">
        <v>4.5</v>
      </c>
      <c r="G11" s="3">
        <f>SUM($B$10:B11)</f>
        <v>8.5</v>
      </c>
    </row>
    <row r="12" spans="1:7">
      <c r="A12" s="1" t="s">
        <v>3</v>
      </c>
      <c r="B12" s="5">
        <v>5</v>
      </c>
      <c r="G12" s="3">
        <f>SUM($B$10:B12)</f>
        <v>13.5</v>
      </c>
    </row>
    <row r="13" spans="1:7">
      <c r="A13" s="1" t="s">
        <v>9</v>
      </c>
      <c r="B13" s="5">
        <v>5.5</v>
      </c>
      <c r="G13" s="3">
        <f>SUM($B$10:B13)</f>
        <v>19</v>
      </c>
    </row>
    <row r="14" spans="1:7">
      <c r="A14" s="1">
        <v>10</v>
      </c>
      <c r="B14" s="14">
        <v>6</v>
      </c>
      <c r="D14" s="2">
        <v>7</v>
      </c>
      <c r="F14">
        <f>25-C15</f>
        <v>0</v>
      </c>
      <c r="G14" s="3">
        <f>SUM($B$10:B14)</f>
        <v>25</v>
      </c>
    </row>
    <row r="15" spans="1:7">
      <c r="A15" s="1" t="s">
        <v>5</v>
      </c>
      <c r="C15">
        <f>SUM(B10:B14)</f>
        <v>25</v>
      </c>
    </row>
    <row r="16" spans="1:7" ht="45">
      <c r="A16" s="10" t="s">
        <v>13</v>
      </c>
      <c r="B16" s="13">
        <v>2</v>
      </c>
    </row>
    <row r="20" spans="2:6">
      <c r="B20" t="s">
        <v>10</v>
      </c>
      <c r="D20" s="6">
        <v>0.6</v>
      </c>
      <c r="E20" s="9">
        <f>D20*E21/D21</f>
        <v>10.799999999999999</v>
      </c>
      <c r="F20" t="s">
        <v>11</v>
      </c>
    </row>
    <row r="21" spans="2:6" ht="15.75">
      <c r="D21" s="7">
        <v>1</v>
      </c>
      <c r="E21" s="8">
        <v>18</v>
      </c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АСУ</vt:lpstr>
      <vt:lpstr>САПР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2018-10-02T11:56:53Z</dcterms:modified>
</cp:coreProperties>
</file>